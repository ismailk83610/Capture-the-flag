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sters\Semester 3\Research project\Week Wise\"/>
    </mc:Choice>
  </mc:AlternateContent>
  <xr:revisionPtr revIDLastSave="0" documentId="13_ncr:1_{380D6876-B76B-4663-B444-EDBE5FF219D2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Gantt 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Q23" i="1"/>
  <c r="P23" i="1"/>
  <c r="O23" i="1"/>
  <c r="N23" i="1"/>
  <c r="M23" i="1"/>
  <c r="L23" i="1"/>
  <c r="K23" i="1"/>
  <c r="J23" i="1"/>
  <c r="I23" i="1"/>
  <c r="H23" i="1"/>
  <c r="G23" i="1"/>
  <c r="F23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R9" i="1"/>
  <c r="Q9" i="1"/>
  <c r="P9" i="1"/>
  <c r="O9" i="1"/>
  <c r="N9" i="1"/>
  <c r="M9" i="1"/>
  <c r="L9" i="1"/>
  <c r="K9" i="1"/>
  <c r="J9" i="1"/>
  <c r="I9" i="1"/>
  <c r="H9" i="1"/>
  <c r="G9" i="1"/>
  <c r="F9" i="1"/>
  <c r="R8" i="1"/>
  <c r="Q8" i="1"/>
  <c r="P8" i="1"/>
  <c r="O8" i="1"/>
  <c r="N8" i="1"/>
  <c r="M8" i="1"/>
  <c r="L8" i="1"/>
  <c r="K8" i="1"/>
  <c r="J8" i="1"/>
  <c r="I8" i="1"/>
  <c r="H8" i="1"/>
  <c r="G8" i="1"/>
  <c r="F8" i="1"/>
</calcChain>
</file>

<file path=xl/sharedStrings.xml><?xml version="1.0" encoding="utf-8"?>
<sst xmlns="http://schemas.openxmlformats.org/spreadsheetml/2006/main" count="62" uniqueCount="40">
  <si>
    <t>GANTT CHART  |  FLAG CAPTURE AGENT</t>
  </si>
  <si>
    <t>TASK LIST  /  AGILE ITERATIONS</t>
  </si>
  <si>
    <t>OCT 2026</t>
  </si>
  <si>
    <t>NOV 2026</t>
  </si>
  <si>
    <t>DEC 2026</t>
  </si>
  <si>
    <t>JAN 2027</t>
  </si>
  <si>
    <t>Task</t>
  </si>
  <si>
    <t>Iteration</t>
  </si>
  <si>
    <t>Status</t>
  </si>
  <si>
    <t>Start date</t>
  </si>
  <si>
    <t>End date</t>
  </si>
  <si>
    <t>Days</t>
  </si>
  <si>
    <t>Literature Research &amp; API Understanding</t>
  </si>
  <si>
    <t>Iteration 1</t>
  </si>
  <si>
    <t>Done</t>
  </si>
  <si>
    <t>GitHub Setup &amp; Dev Diary</t>
  </si>
  <si>
    <t>Baseline Agent Testing</t>
  </si>
  <si>
    <t>Project Planning &amp; Software Structure</t>
  </si>
  <si>
    <t>Map Storage Implementation</t>
  </si>
  <si>
    <t>Iteration 2</t>
  </si>
  <si>
    <t>In Progress</t>
  </si>
  <si>
    <t>Visited Cells &amp; Map Update Logic</t>
  </si>
  <si>
    <t>Planned</t>
  </si>
  <si>
    <t>Frontier Exploration Design</t>
  </si>
  <si>
    <t>Iteration 3</t>
  </si>
  <si>
    <t>Information Gain Integration</t>
  </si>
  <si>
    <t>A* Pathfinding</t>
  </si>
  <si>
    <t>Iteration 4</t>
  </si>
  <si>
    <t>Dynamic Replanning for Blocked Routes</t>
  </si>
  <si>
    <t>Flag Detection &amp; Pickup Logic</t>
  </si>
  <si>
    <t>Iteration 5</t>
  </si>
  <si>
    <t>Return-to-Base Logic</t>
  </si>
  <si>
    <t>Full Agent Integration</t>
  </si>
  <si>
    <t>Iteration 6</t>
  </si>
  <si>
    <t>Testing &amp; Debugging</t>
  </si>
  <si>
    <t>Optimization &amp; Final DLL</t>
  </si>
  <si>
    <t>Documentation &amp; Final Submission</t>
  </si>
  <si>
    <t>Iteration 7</t>
  </si>
  <si>
    <t>Legend:  Cyan = Done     |     Light blue = In Progress     |     Deep teal = Planned     |     Red = Blocked      •      Change Start, End, or Status to adjust the timeline colors.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</si>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</sst>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11">
    <font>
      <sz val="11"/>
      <name val="Carlito"/>
    </font>
    <font>
      <b/>
      <sz val="19"/>
      <color rgb="FFFFFFFF"/>
      <name val="Carlito"/>
    </font>
    <font>
      <b/>
      <sz val="12"/>
      <color rgb="FFF4FAFF"/>
      <name val="Carlito"/>
    </font>
    <font>
      <b/>
      <sz val="11"/>
      <color rgb="FFF4FAFF"/>
      <name val="Carlito"/>
    </font>
    <font>
      <b/>
      <sz val="10"/>
      <color rgb="FFFFFFFF"/>
      <name val="Carlito"/>
    </font>
    <font>
      <sz val="10"/>
      <color rgb="FFF4FAFF"/>
      <name val="Carlito"/>
    </font>
    <font>
      <sz val="10"/>
      <color rgb="FF08B3CC"/>
      <name val="Carlito"/>
    </font>
    <font>
      <sz val="10"/>
      <color rgb="FFFFFFFF"/>
      <name val="Carlito"/>
    </font>
    <font>
      <sz val="10"/>
      <color rgb="FF5B9EE6"/>
      <name val="Carlito"/>
    </font>
    <font>
      <sz val="10"/>
      <color rgb="FFA8C5DC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1D31"/>
      </patternFill>
    </fill>
    <fill>
      <patternFill patternType="solid">
        <fgColor rgb="FF09395C"/>
      </patternFill>
    </fill>
    <fill>
      <patternFill patternType="solid">
        <fgColor rgb="FF145078"/>
      </patternFill>
    </fill>
    <fill>
      <patternFill patternType="solid">
        <fgColor rgb="FF0C2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164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165" fontId="5" fillId="5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9" fillId="2" borderId="0" xfId="0" applyFont="1" applyFill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bgColor rgb="FFD16F62"/>
        </patternFill>
      </fill>
    </dxf>
    <dxf>
      <fill>
        <patternFill patternType="solid">
          <bgColor rgb="FF087F9C"/>
        </patternFill>
      </fill>
    </dxf>
    <dxf>
      <fill>
        <patternFill patternType="solid">
          <bgColor rgb="FF5B9EE6"/>
        </patternFill>
      </fill>
    </dxf>
    <dxf>
      <fill>
        <patternFill patternType="solid">
          <bgColor rgb="FF08B3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70" zoomScaleNormal="70" workbookViewId="0">
      <pane ySplit="7" topLeftCell="A10" activePane="bottomLeft" state="frozen"/>
      <selection pane="bottomLeft" activeCell="E14" sqref="E14"/>
    </sheetView>
  </sheetViews>
  <sheetFormatPr defaultRowHeight="14"/>
  <cols>
    <col min="1" max="1" width="42" customWidth="1"/>
    <col min="2" max="3" width="15" customWidth="1"/>
    <col min="4" max="5" width="14" customWidth="1"/>
    <col min="6" max="6" width="8" customWidth="1"/>
    <col min="7" max="18" width="13" customWidth="1"/>
  </cols>
  <sheetData>
    <row r="1" spans="1:18" ht="2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  <c r="N1" s="21"/>
      <c r="O1" s="21"/>
      <c r="P1" s="21"/>
      <c r="Q1" s="21"/>
      <c r="R1" s="21"/>
    </row>
    <row r="2" spans="1:18" ht="2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  <c r="N2" s="21"/>
      <c r="O2" s="21"/>
      <c r="P2" s="21"/>
      <c r="Q2" s="21"/>
      <c r="R2" s="21"/>
    </row>
    <row r="3" spans="1:18" ht="2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1"/>
      <c r="O3" s="21"/>
      <c r="P3" s="21"/>
      <c r="Q3" s="21"/>
      <c r="R3" s="21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0" customHeight="1">
      <c r="A5" s="22" t="s">
        <v>1</v>
      </c>
      <c r="B5" s="22"/>
      <c r="C5" s="22"/>
      <c r="D5" s="22"/>
      <c r="E5" s="22"/>
      <c r="F5" s="22"/>
      <c r="G5" s="23" t="s">
        <v>2</v>
      </c>
      <c r="H5" s="23"/>
      <c r="I5" s="23" t="s">
        <v>3</v>
      </c>
      <c r="J5" s="23"/>
      <c r="K5" s="23"/>
      <c r="L5" s="23"/>
      <c r="M5" s="23"/>
      <c r="N5" s="23" t="s">
        <v>4</v>
      </c>
      <c r="O5" s="23"/>
      <c r="P5" s="23"/>
      <c r="Q5" s="23"/>
      <c r="R5" s="2" t="s">
        <v>5</v>
      </c>
    </row>
    <row r="6" spans="1:1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9" customHeight="1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4">
        <v>46314</v>
      </c>
      <c r="H7" s="4">
        <v>46321</v>
      </c>
      <c r="I7" s="4">
        <v>46328</v>
      </c>
      <c r="J7" s="4">
        <v>46335</v>
      </c>
      <c r="K7" s="4">
        <v>46342</v>
      </c>
      <c r="L7" s="4">
        <v>46349</v>
      </c>
      <c r="M7" s="4">
        <v>46356</v>
      </c>
      <c r="N7" s="4">
        <v>46363</v>
      </c>
      <c r="O7" s="4">
        <v>46370</v>
      </c>
      <c r="P7" s="4">
        <v>46377</v>
      </c>
      <c r="Q7" s="4">
        <v>46384</v>
      </c>
      <c r="R7" s="4">
        <v>46391</v>
      </c>
    </row>
    <row r="8" spans="1:18" ht="29" customHeight="1">
      <c r="A8" s="5" t="s">
        <v>12</v>
      </c>
      <c r="B8" s="5" t="s">
        <v>13</v>
      </c>
      <c r="C8" s="7" t="s">
        <v>14</v>
      </c>
      <c r="D8" s="6">
        <v>46314</v>
      </c>
      <c r="E8" s="6">
        <v>46317</v>
      </c>
      <c r="F8" s="5">
        <f t="shared" ref="F8:F23" si="0">E8-D8+1</f>
        <v>4</v>
      </c>
      <c r="G8" s="16" t="str">
        <f t="shared" ref="G8:R17" si="1">IF(AND(G$7&lt;=$E8,G$7+6&gt;=$D8),"●","")</f>
        <v>●</v>
      </c>
      <c r="H8" s="8" t="str">
        <f t="shared" si="1"/>
        <v/>
      </c>
      <c r="I8" s="8" t="str">
        <f t="shared" si="1"/>
        <v/>
      </c>
      <c r="J8" s="8" t="str">
        <f t="shared" si="1"/>
        <v/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8" t="str">
        <f t="shared" si="1"/>
        <v/>
      </c>
      <c r="O8" s="8" t="str">
        <f t="shared" si="1"/>
        <v/>
      </c>
      <c r="P8" s="8" t="str">
        <f t="shared" si="1"/>
        <v/>
      </c>
      <c r="Q8" s="8" t="str">
        <f t="shared" si="1"/>
        <v/>
      </c>
      <c r="R8" s="8" t="str">
        <f t="shared" si="1"/>
        <v/>
      </c>
    </row>
    <row r="9" spans="1:18" ht="29" customHeight="1">
      <c r="A9" s="9" t="s">
        <v>15</v>
      </c>
      <c r="B9" s="9" t="s">
        <v>13</v>
      </c>
      <c r="C9" s="11" t="s">
        <v>14</v>
      </c>
      <c r="D9" s="10">
        <v>46314</v>
      </c>
      <c r="E9" s="10">
        <v>46318</v>
      </c>
      <c r="F9" s="9">
        <f t="shared" si="0"/>
        <v>5</v>
      </c>
      <c r="G9" s="17" t="str">
        <f t="shared" si="1"/>
        <v>●</v>
      </c>
      <c r="H9" s="12" t="str">
        <f t="shared" si="1"/>
        <v/>
      </c>
      <c r="I9" s="12" t="str">
        <f t="shared" si="1"/>
        <v/>
      </c>
      <c r="J9" s="12" t="str">
        <f t="shared" si="1"/>
        <v/>
      </c>
      <c r="K9" s="12" t="str">
        <f t="shared" si="1"/>
        <v/>
      </c>
      <c r="L9" s="12" t="str">
        <f t="shared" si="1"/>
        <v/>
      </c>
      <c r="M9" s="12" t="str">
        <f t="shared" si="1"/>
        <v/>
      </c>
      <c r="N9" s="12" t="str">
        <f t="shared" si="1"/>
        <v/>
      </c>
      <c r="O9" s="12" t="str">
        <f t="shared" si="1"/>
        <v/>
      </c>
      <c r="P9" s="12" t="str">
        <f t="shared" si="1"/>
        <v/>
      </c>
      <c r="Q9" s="12" t="str">
        <f t="shared" si="1"/>
        <v/>
      </c>
      <c r="R9" s="12" t="str">
        <f t="shared" si="1"/>
        <v/>
      </c>
    </row>
    <row r="10" spans="1:18" ht="29" customHeight="1">
      <c r="A10" s="5" t="s">
        <v>16</v>
      </c>
      <c r="B10" s="5" t="s">
        <v>13</v>
      </c>
      <c r="C10" s="7" t="s">
        <v>14</v>
      </c>
      <c r="D10" s="6">
        <v>46316</v>
      </c>
      <c r="E10" s="6">
        <v>46320</v>
      </c>
      <c r="F10" s="5">
        <f t="shared" si="0"/>
        <v>5</v>
      </c>
      <c r="G10" s="16" t="str">
        <f t="shared" si="1"/>
        <v>●</v>
      </c>
      <c r="H10" s="8" t="str">
        <f t="shared" si="1"/>
        <v/>
      </c>
      <c r="I10" s="8" t="str">
        <f t="shared" si="1"/>
        <v/>
      </c>
      <c r="J10" s="8" t="str">
        <f t="shared" si="1"/>
        <v/>
      </c>
      <c r="K10" s="8" t="str">
        <f t="shared" si="1"/>
        <v/>
      </c>
      <c r="L10" s="8" t="str">
        <f t="shared" si="1"/>
        <v/>
      </c>
      <c r="M10" s="8" t="str">
        <f t="shared" si="1"/>
        <v/>
      </c>
      <c r="N10" s="8" t="str">
        <f t="shared" si="1"/>
        <v/>
      </c>
      <c r="O10" s="8" t="str">
        <f t="shared" si="1"/>
        <v/>
      </c>
      <c r="P10" s="8" t="str">
        <f t="shared" si="1"/>
        <v/>
      </c>
      <c r="Q10" s="8" t="str">
        <f t="shared" si="1"/>
        <v/>
      </c>
      <c r="R10" s="8" t="str">
        <f t="shared" si="1"/>
        <v/>
      </c>
    </row>
    <row r="11" spans="1:18" ht="29" customHeight="1">
      <c r="A11" s="9" t="s">
        <v>17</v>
      </c>
      <c r="B11" s="9" t="s">
        <v>13</v>
      </c>
      <c r="C11" s="11" t="s">
        <v>14</v>
      </c>
      <c r="D11" s="10">
        <v>46314</v>
      </c>
      <c r="E11" s="10">
        <v>46320</v>
      </c>
      <c r="F11" s="9">
        <f t="shared" si="0"/>
        <v>7</v>
      </c>
      <c r="G11" s="17" t="str">
        <f t="shared" si="1"/>
        <v>●</v>
      </c>
      <c r="H11" s="12" t="str">
        <f t="shared" si="1"/>
        <v/>
      </c>
      <c r="I11" s="12" t="str">
        <f t="shared" si="1"/>
        <v/>
      </c>
      <c r="J11" s="12" t="str">
        <f t="shared" si="1"/>
        <v/>
      </c>
      <c r="K11" s="12" t="str">
        <f t="shared" si="1"/>
        <v/>
      </c>
      <c r="L11" s="12" t="str">
        <f t="shared" si="1"/>
        <v/>
      </c>
      <c r="M11" s="12" t="str">
        <f t="shared" si="1"/>
        <v/>
      </c>
      <c r="N11" s="12" t="str">
        <f t="shared" si="1"/>
        <v/>
      </c>
      <c r="O11" s="12" t="str">
        <f t="shared" si="1"/>
        <v/>
      </c>
      <c r="P11" s="12" t="str">
        <f t="shared" si="1"/>
        <v/>
      </c>
      <c r="Q11" s="12" t="str">
        <f t="shared" si="1"/>
        <v/>
      </c>
      <c r="R11" s="12" t="str">
        <f t="shared" si="1"/>
        <v/>
      </c>
    </row>
    <row r="12" spans="1:18" ht="29" customHeight="1">
      <c r="A12" s="5" t="s">
        <v>18</v>
      </c>
      <c r="B12" s="5" t="s">
        <v>19</v>
      </c>
      <c r="C12" s="13" t="s">
        <v>20</v>
      </c>
      <c r="D12" s="6">
        <v>46321</v>
      </c>
      <c r="E12" s="6">
        <v>46331</v>
      </c>
      <c r="F12" s="5">
        <f t="shared" si="0"/>
        <v>11</v>
      </c>
      <c r="G12" s="8" t="str">
        <f t="shared" si="1"/>
        <v/>
      </c>
      <c r="H12" s="16" t="str">
        <f t="shared" si="1"/>
        <v>●</v>
      </c>
      <c r="I12" s="16" t="str">
        <f t="shared" si="1"/>
        <v>●</v>
      </c>
      <c r="J12" s="8" t="str">
        <f t="shared" si="1"/>
        <v/>
      </c>
      <c r="K12" s="8" t="str">
        <f t="shared" si="1"/>
        <v/>
      </c>
      <c r="L12" s="8" t="str">
        <f t="shared" si="1"/>
        <v/>
      </c>
      <c r="M12" s="8" t="str">
        <f t="shared" si="1"/>
        <v/>
      </c>
      <c r="N12" s="8" t="str">
        <f t="shared" si="1"/>
        <v/>
      </c>
      <c r="O12" s="8" t="str">
        <f t="shared" si="1"/>
        <v/>
      </c>
      <c r="P12" s="8" t="str">
        <f t="shared" si="1"/>
        <v/>
      </c>
      <c r="Q12" s="8" t="str">
        <f t="shared" si="1"/>
        <v/>
      </c>
      <c r="R12" s="8" t="str">
        <f t="shared" si="1"/>
        <v/>
      </c>
    </row>
    <row r="13" spans="1:18" ht="29" customHeight="1">
      <c r="A13" s="9" t="s">
        <v>21</v>
      </c>
      <c r="B13" s="9" t="s">
        <v>19</v>
      </c>
      <c r="C13" s="14" t="s">
        <v>22</v>
      </c>
      <c r="D13" s="10">
        <v>46328</v>
      </c>
      <c r="E13" s="10">
        <v>46334</v>
      </c>
      <c r="F13" s="9">
        <f t="shared" si="0"/>
        <v>7</v>
      </c>
      <c r="G13" s="12" t="str">
        <f t="shared" si="1"/>
        <v/>
      </c>
      <c r="H13" s="12" t="str">
        <f t="shared" si="1"/>
        <v/>
      </c>
      <c r="I13" s="17" t="str">
        <f t="shared" si="1"/>
        <v>●</v>
      </c>
      <c r="J13" s="12" t="str">
        <f t="shared" si="1"/>
        <v/>
      </c>
      <c r="K13" s="12" t="str">
        <f t="shared" si="1"/>
        <v/>
      </c>
      <c r="L13" s="12" t="str">
        <f t="shared" si="1"/>
        <v/>
      </c>
      <c r="M13" s="12" t="str">
        <f t="shared" si="1"/>
        <v/>
      </c>
      <c r="N13" s="12" t="str">
        <f t="shared" si="1"/>
        <v/>
      </c>
      <c r="O13" s="12" t="str">
        <f t="shared" si="1"/>
        <v/>
      </c>
      <c r="P13" s="12" t="str">
        <f t="shared" si="1"/>
        <v/>
      </c>
      <c r="Q13" s="12" t="str">
        <f t="shared" si="1"/>
        <v/>
      </c>
      <c r="R13" s="12" t="str">
        <f t="shared" si="1"/>
        <v/>
      </c>
    </row>
    <row r="14" spans="1:18" ht="29" customHeight="1">
      <c r="A14" s="5" t="s">
        <v>23</v>
      </c>
      <c r="B14" s="5" t="s">
        <v>24</v>
      </c>
      <c r="C14" s="15" t="s">
        <v>22</v>
      </c>
      <c r="D14" s="6">
        <v>46335</v>
      </c>
      <c r="E14" s="6" t="s">
        <v>39</v>
      </c>
      <c r="F14" s="5" t="e">
        <f t="shared" si="0"/>
        <v>#VALUE!</v>
      </c>
      <c r="G14" s="8" t="str">
        <f t="shared" si="1"/>
        <v/>
      </c>
      <c r="H14" s="8" t="str">
        <f t="shared" si="1"/>
        <v/>
      </c>
      <c r="I14" s="8" t="str">
        <f t="shared" si="1"/>
        <v/>
      </c>
      <c r="J14" s="16" t="str">
        <f t="shared" si="1"/>
        <v>●</v>
      </c>
      <c r="K14" s="8" t="str">
        <f t="shared" si="1"/>
        <v>●</v>
      </c>
      <c r="L14" s="8" t="str">
        <f t="shared" si="1"/>
        <v>●</v>
      </c>
      <c r="M14" s="8" t="str">
        <f t="shared" si="1"/>
        <v>●</v>
      </c>
      <c r="N14" s="8" t="str">
        <f t="shared" si="1"/>
        <v>●</v>
      </c>
      <c r="O14" s="8" t="str">
        <f t="shared" si="1"/>
        <v>●</v>
      </c>
      <c r="P14" s="8" t="str">
        <f t="shared" si="1"/>
        <v>●</v>
      </c>
      <c r="Q14" s="8" t="str">
        <f t="shared" si="1"/>
        <v>●</v>
      </c>
      <c r="R14" s="8" t="str">
        <f t="shared" si="1"/>
        <v>●</v>
      </c>
    </row>
    <row r="15" spans="1:18" ht="29" customHeight="1">
      <c r="A15" s="9" t="s">
        <v>25</v>
      </c>
      <c r="B15" s="9" t="s">
        <v>24</v>
      </c>
      <c r="C15" s="14" t="s">
        <v>22</v>
      </c>
      <c r="D15" s="10">
        <v>46342</v>
      </c>
      <c r="E15" s="10">
        <v>46348</v>
      </c>
      <c r="F15" s="9">
        <f t="shared" si="0"/>
        <v>7</v>
      </c>
      <c r="G15" s="12" t="str">
        <f t="shared" si="1"/>
        <v/>
      </c>
      <c r="H15" s="12" t="str">
        <f t="shared" si="1"/>
        <v/>
      </c>
      <c r="I15" s="12" t="str">
        <f t="shared" si="1"/>
        <v/>
      </c>
      <c r="J15" s="12" t="str">
        <f t="shared" si="1"/>
        <v/>
      </c>
      <c r="K15" s="17" t="str">
        <f t="shared" si="1"/>
        <v>●</v>
      </c>
      <c r="L15" s="12" t="str">
        <f t="shared" si="1"/>
        <v/>
      </c>
      <c r="M15" s="12" t="str">
        <f t="shared" si="1"/>
        <v/>
      </c>
      <c r="N15" s="12" t="str">
        <f t="shared" si="1"/>
        <v/>
      </c>
      <c r="O15" s="12" t="str">
        <f t="shared" si="1"/>
        <v/>
      </c>
      <c r="P15" s="12" t="str">
        <f t="shared" si="1"/>
        <v/>
      </c>
      <c r="Q15" s="12" t="str">
        <f t="shared" si="1"/>
        <v/>
      </c>
      <c r="R15" s="12" t="str">
        <f t="shared" si="1"/>
        <v/>
      </c>
    </row>
    <row r="16" spans="1:18" ht="29" customHeight="1">
      <c r="A16" s="5" t="s">
        <v>26</v>
      </c>
      <c r="B16" s="5" t="s">
        <v>27</v>
      </c>
      <c r="C16" s="15" t="s">
        <v>22</v>
      </c>
      <c r="D16" s="6">
        <v>46349</v>
      </c>
      <c r="E16" s="6">
        <v>46356</v>
      </c>
      <c r="F16" s="5">
        <f t="shared" si="0"/>
        <v>8</v>
      </c>
      <c r="G16" s="8" t="str">
        <f t="shared" si="1"/>
        <v/>
      </c>
      <c r="H16" s="8" t="str">
        <f t="shared" si="1"/>
        <v/>
      </c>
      <c r="I16" s="8" t="str">
        <f t="shared" si="1"/>
        <v/>
      </c>
      <c r="J16" s="8" t="str">
        <f t="shared" si="1"/>
        <v/>
      </c>
      <c r="K16" s="8" t="str">
        <f t="shared" si="1"/>
        <v/>
      </c>
      <c r="L16" s="16" t="str">
        <f t="shared" si="1"/>
        <v>●</v>
      </c>
      <c r="M16" s="16" t="str">
        <f t="shared" si="1"/>
        <v>●</v>
      </c>
      <c r="N16" s="8" t="str">
        <f t="shared" si="1"/>
        <v/>
      </c>
      <c r="O16" s="8" t="str">
        <f t="shared" si="1"/>
        <v/>
      </c>
      <c r="P16" s="8" t="str">
        <f t="shared" si="1"/>
        <v/>
      </c>
      <c r="Q16" s="8" t="str">
        <f t="shared" si="1"/>
        <v/>
      </c>
      <c r="R16" s="8" t="str">
        <f t="shared" si="1"/>
        <v/>
      </c>
    </row>
    <row r="17" spans="1:18" ht="29" customHeight="1">
      <c r="A17" s="9" t="s">
        <v>28</v>
      </c>
      <c r="B17" s="9" t="s">
        <v>27</v>
      </c>
      <c r="C17" s="14" t="s">
        <v>22</v>
      </c>
      <c r="D17" s="10">
        <v>46357</v>
      </c>
      <c r="E17" s="10">
        <v>46362</v>
      </c>
      <c r="F17" s="9">
        <f t="shared" si="0"/>
        <v>6</v>
      </c>
      <c r="G17" s="12" t="str">
        <f t="shared" si="1"/>
        <v/>
      </c>
      <c r="H17" s="12" t="str">
        <f t="shared" si="1"/>
        <v/>
      </c>
      <c r="I17" s="12" t="str">
        <f t="shared" si="1"/>
        <v/>
      </c>
      <c r="J17" s="12" t="str">
        <f t="shared" si="1"/>
        <v/>
      </c>
      <c r="K17" s="12" t="str">
        <f t="shared" si="1"/>
        <v/>
      </c>
      <c r="L17" s="12" t="str">
        <f t="shared" si="1"/>
        <v/>
      </c>
      <c r="M17" s="17" t="str">
        <f t="shared" si="1"/>
        <v>●</v>
      </c>
      <c r="N17" s="12" t="str">
        <f t="shared" si="1"/>
        <v/>
      </c>
      <c r="O17" s="12" t="str">
        <f t="shared" si="1"/>
        <v/>
      </c>
      <c r="P17" s="12" t="str">
        <f t="shared" si="1"/>
        <v/>
      </c>
      <c r="Q17" s="12" t="str">
        <f t="shared" si="1"/>
        <v/>
      </c>
      <c r="R17" s="12" t="str">
        <f t="shared" si="1"/>
        <v/>
      </c>
    </row>
    <row r="18" spans="1:18" ht="29" customHeight="1">
      <c r="A18" s="5" t="s">
        <v>29</v>
      </c>
      <c r="B18" s="5" t="s">
        <v>30</v>
      </c>
      <c r="C18" s="15" t="s">
        <v>22</v>
      </c>
      <c r="D18" s="6">
        <v>46363</v>
      </c>
      <c r="E18" s="6">
        <v>46369</v>
      </c>
      <c r="F18" s="5">
        <f t="shared" si="0"/>
        <v>7</v>
      </c>
      <c r="G18" s="8" t="str">
        <f t="shared" ref="G18:R23" si="2">IF(AND(G$7&lt;=$E18,G$7+6&gt;=$D18),"●","")</f>
        <v/>
      </c>
      <c r="H18" s="8" t="str">
        <f t="shared" si="2"/>
        <v/>
      </c>
      <c r="I18" s="8" t="str">
        <f t="shared" si="2"/>
        <v/>
      </c>
      <c r="J18" s="8" t="str">
        <f t="shared" si="2"/>
        <v/>
      </c>
      <c r="K18" s="8" t="str">
        <f t="shared" si="2"/>
        <v/>
      </c>
      <c r="L18" s="8" t="str">
        <f t="shared" si="2"/>
        <v/>
      </c>
      <c r="M18" s="8" t="str">
        <f t="shared" si="2"/>
        <v/>
      </c>
      <c r="N18" s="16" t="str">
        <f t="shared" si="2"/>
        <v>●</v>
      </c>
      <c r="O18" s="8" t="str">
        <f t="shared" si="2"/>
        <v/>
      </c>
      <c r="P18" s="8" t="str">
        <f t="shared" si="2"/>
        <v/>
      </c>
      <c r="Q18" s="8" t="str">
        <f t="shared" si="2"/>
        <v/>
      </c>
      <c r="R18" s="8" t="str">
        <f t="shared" si="2"/>
        <v/>
      </c>
    </row>
    <row r="19" spans="1:18" ht="29" customHeight="1">
      <c r="A19" s="9" t="s">
        <v>31</v>
      </c>
      <c r="B19" s="9" t="s">
        <v>30</v>
      </c>
      <c r="C19" s="14" t="s">
        <v>22</v>
      </c>
      <c r="D19" s="10">
        <v>46370</v>
      </c>
      <c r="E19" s="10">
        <v>46376</v>
      </c>
      <c r="F19" s="9">
        <f t="shared" si="0"/>
        <v>7</v>
      </c>
      <c r="G19" s="12" t="str">
        <f t="shared" si="2"/>
        <v/>
      </c>
      <c r="H19" s="12" t="str">
        <f t="shared" si="2"/>
        <v/>
      </c>
      <c r="I19" s="12" t="str">
        <f t="shared" si="2"/>
        <v/>
      </c>
      <c r="J19" s="12" t="str">
        <f t="shared" si="2"/>
        <v/>
      </c>
      <c r="K19" s="12" t="str">
        <f t="shared" si="2"/>
        <v/>
      </c>
      <c r="L19" s="12" t="str">
        <f t="shared" si="2"/>
        <v/>
      </c>
      <c r="M19" s="12" t="str">
        <f t="shared" si="2"/>
        <v/>
      </c>
      <c r="N19" s="12" t="str">
        <f t="shared" si="2"/>
        <v/>
      </c>
      <c r="O19" s="17" t="str">
        <f t="shared" si="2"/>
        <v>●</v>
      </c>
      <c r="P19" s="12" t="str">
        <f t="shared" si="2"/>
        <v/>
      </c>
      <c r="Q19" s="12" t="str">
        <f t="shared" si="2"/>
        <v/>
      </c>
      <c r="R19" s="12" t="str">
        <f t="shared" si="2"/>
        <v/>
      </c>
    </row>
    <row r="20" spans="1:18" ht="29" customHeight="1">
      <c r="A20" s="5" t="s">
        <v>32</v>
      </c>
      <c r="B20" s="5" t="s">
        <v>33</v>
      </c>
      <c r="C20" s="15" t="s">
        <v>22</v>
      </c>
      <c r="D20" s="6">
        <v>46373</v>
      </c>
      <c r="E20" s="6">
        <v>46383</v>
      </c>
      <c r="F20" s="5">
        <f t="shared" si="0"/>
        <v>11</v>
      </c>
      <c r="G20" s="8" t="str">
        <f t="shared" si="2"/>
        <v/>
      </c>
      <c r="H20" s="8" t="str">
        <f t="shared" si="2"/>
        <v/>
      </c>
      <c r="I20" s="8" t="str">
        <f t="shared" si="2"/>
        <v/>
      </c>
      <c r="J20" s="8" t="str">
        <f t="shared" si="2"/>
        <v/>
      </c>
      <c r="K20" s="8" t="str">
        <f t="shared" si="2"/>
        <v/>
      </c>
      <c r="L20" s="8" t="str">
        <f t="shared" si="2"/>
        <v/>
      </c>
      <c r="M20" s="8" t="str">
        <f t="shared" si="2"/>
        <v/>
      </c>
      <c r="N20" s="8" t="str">
        <f t="shared" si="2"/>
        <v/>
      </c>
      <c r="O20" s="16" t="str">
        <f t="shared" si="2"/>
        <v>●</v>
      </c>
      <c r="P20" s="16" t="str">
        <f t="shared" si="2"/>
        <v>●</v>
      </c>
      <c r="Q20" s="8" t="str">
        <f t="shared" si="2"/>
        <v/>
      </c>
      <c r="R20" s="8" t="str">
        <f t="shared" si="2"/>
        <v/>
      </c>
    </row>
    <row r="21" spans="1:18" ht="29" customHeight="1">
      <c r="A21" s="9" t="s">
        <v>34</v>
      </c>
      <c r="B21" s="9" t="s">
        <v>33</v>
      </c>
      <c r="C21" s="14" t="s">
        <v>22</v>
      </c>
      <c r="D21" s="10">
        <v>46377</v>
      </c>
      <c r="E21" s="10">
        <v>46390</v>
      </c>
      <c r="F21" s="9">
        <f t="shared" si="0"/>
        <v>14</v>
      </c>
      <c r="G21" s="12" t="str">
        <f t="shared" si="2"/>
        <v/>
      </c>
      <c r="H21" s="12" t="str">
        <f t="shared" si="2"/>
        <v/>
      </c>
      <c r="I21" s="12" t="str">
        <f t="shared" si="2"/>
        <v/>
      </c>
      <c r="J21" s="12" t="str">
        <f t="shared" si="2"/>
        <v/>
      </c>
      <c r="K21" s="12" t="str">
        <f t="shared" si="2"/>
        <v/>
      </c>
      <c r="L21" s="12" t="str">
        <f t="shared" si="2"/>
        <v/>
      </c>
      <c r="M21" s="12" t="str">
        <f t="shared" si="2"/>
        <v/>
      </c>
      <c r="N21" s="12" t="str">
        <f t="shared" si="2"/>
        <v/>
      </c>
      <c r="O21" s="12" t="str">
        <f t="shared" si="2"/>
        <v/>
      </c>
      <c r="P21" s="17" t="str">
        <f t="shared" si="2"/>
        <v>●</v>
      </c>
      <c r="Q21" s="17" t="str">
        <f t="shared" si="2"/>
        <v>●</v>
      </c>
      <c r="R21" s="12" t="str">
        <f t="shared" si="2"/>
        <v/>
      </c>
    </row>
    <row r="22" spans="1:18" ht="29" customHeight="1">
      <c r="A22" s="5" t="s">
        <v>35</v>
      </c>
      <c r="B22" s="5" t="s">
        <v>33</v>
      </c>
      <c r="C22" s="15" t="s">
        <v>22</v>
      </c>
      <c r="D22" s="6">
        <v>46384</v>
      </c>
      <c r="E22" s="6">
        <v>46390</v>
      </c>
      <c r="F22" s="5">
        <f t="shared" si="0"/>
        <v>7</v>
      </c>
      <c r="G22" s="8" t="str">
        <f t="shared" si="2"/>
        <v/>
      </c>
      <c r="H22" s="8" t="str">
        <f t="shared" si="2"/>
        <v/>
      </c>
      <c r="I22" s="8" t="str">
        <f t="shared" si="2"/>
        <v/>
      </c>
      <c r="J22" s="8" t="str">
        <f t="shared" si="2"/>
        <v/>
      </c>
      <c r="K22" s="8" t="str">
        <f t="shared" si="2"/>
        <v/>
      </c>
      <c r="L22" s="8" t="str">
        <f t="shared" si="2"/>
        <v/>
      </c>
      <c r="M22" s="8" t="str">
        <f t="shared" si="2"/>
        <v/>
      </c>
      <c r="N22" s="8" t="str">
        <f t="shared" si="2"/>
        <v/>
      </c>
      <c r="O22" s="8" t="str">
        <f t="shared" si="2"/>
        <v/>
      </c>
      <c r="P22" s="8" t="str">
        <f t="shared" si="2"/>
        <v/>
      </c>
      <c r="Q22" s="16" t="str">
        <f t="shared" si="2"/>
        <v>●</v>
      </c>
      <c r="R22" s="8" t="str">
        <f t="shared" si="2"/>
        <v/>
      </c>
    </row>
    <row r="23" spans="1:18" ht="29" customHeight="1">
      <c r="A23" s="9" t="s">
        <v>36</v>
      </c>
      <c r="B23" s="9" t="s">
        <v>37</v>
      </c>
      <c r="C23" s="14" t="s">
        <v>22</v>
      </c>
      <c r="D23" s="10">
        <v>46391</v>
      </c>
      <c r="E23" s="10">
        <v>46394</v>
      </c>
      <c r="F23" s="9">
        <f t="shared" si="0"/>
        <v>4</v>
      </c>
      <c r="G23" s="12" t="str">
        <f t="shared" si="2"/>
        <v/>
      </c>
      <c r="H23" s="12" t="str">
        <f t="shared" si="2"/>
        <v/>
      </c>
      <c r="I23" s="12" t="str">
        <f t="shared" si="2"/>
        <v/>
      </c>
      <c r="J23" s="12" t="str">
        <f t="shared" si="2"/>
        <v/>
      </c>
      <c r="K23" s="12" t="str">
        <f t="shared" si="2"/>
        <v/>
      </c>
      <c r="L23" s="12" t="str">
        <f t="shared" si="2"/>
        <v/>
      </c>
      <c r="M23" s="12" t="str">
        <f t="shared" si="2"/>
        <v/>
      </c>
      <c r="N23" s="12" t="str">
        <f t="shared" si="2"/>
        <v/>
      </c>
      <c r="O23" s="12" t="str">
        <f t="shared" si="2"/>
        <v/>
      </c>
      <c r="P23" s="12" t="str">
        <f t="shared" si="2"/>
        <v/>
      </c>
      <c r="Q23" s="12" t="str">
        <f t="shared" si="2"/>
        <v/>
      </c>
      <c r="R23" s="17" t="str">
        <f t="shared" si="2"/>
        <v>●</v>
      </c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31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7" customHeight="1">
      <c r="A27" s="19" t="s">
        <v>38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</sheetData>
  <mergeCells count="8">
    <mergeCell ref="A25:R25"/>
    <mergeCell ref="A27:R27"/>
    <mergeCell ref="A1:L3"/>
    <mergeCell ref="M1:R3"/>
    <mergeCell ref="A5:F5"/>
    <mergeCell ref="G5:H5"/>
    <mergeCell ref="I5:M5"/>
    <mergeCell ref="N5:Q5"/>
  </mergeCells>
  <conditionalFormatting sqref="G8:R23">
    <cfRule type="expression" dxfId="3" priority="1">
      <formula>AND(G$7&lt;=$E8,G$7+6&gt;=$D8,$C8="Done")</formula>
    </cfRule>
    <cfRule type="expression" dxfId="2" priority="2">
      <formula>AND(G$7&lt;=$E8,G$7+6&gt;=$D8,$C8="In Progress")</formula>
    </cfRule>
    <cfRule type="expression" dxfId="1" priority="3">
      <formula>AND(G$7&lt;=$E8,G$7+6&gt;=$D8,$C8="Planned")</formula>
    </cfRule>
    <cfRule type="expression" dxfId="0" priority="4">
      <formula>AND(G$7&lt;=$E8,G$7+6&gt;=$D8,$C8="Blocked")</formula>
    </cfRule>
  </conditionalFormatting>
  <dataValidations count="1">
    <dataValidation type="list" sqref="C8:C23" xr:uid="{00000000-0002-0000-0000-000000000000}">
      <formula1>"Done,In Progress,Planned,Blocked"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ISMAIL</cp:lastModifiedBy>
  <dcterms:modified xsi:type="dcterms:W3CDTF">2026-10-23T07:09:33Z</dcterms:modified>
</cp:coreProperties>
</file>